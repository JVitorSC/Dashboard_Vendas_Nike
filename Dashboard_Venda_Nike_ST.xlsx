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38" documentId="11_DAD7939788973D16A3DA443FACACFFFCEB46F67F" xr6:coauthVersionLast="47" xr6:coauthVersionMax="47" xr10:uidLastSave="{243EE534-8F90-4F46-8215-84BEFC8A3890}"/>
  <bookViews>
    <workbookView xWindow="0" yWindow="0" windowWidth="0" windowHeight="0" xr2:uid="{00000000-000D-0000-FFFF-FFFF00000000}"/>
  </bookViews>
  <sheets>
    <sheet name="Base_Dados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A4" i="2"/>
  <c r="E4" i="2" s="1"/>
</calcChain>
</file>

<file path=xl/sharedStrings.xml><?xml version="1.0" encoding="utf-8"?>
<sst xmlns="http://schemas.openxmlformats.org/spreadsheetml/2006/main" count="102" uniqueCount="46">
  <si>
    <t>Data Venda</t>
  </si>
  <si>
    <t>Produto</t>
  </si>
  <si>
    <t>Categoria</t>
  </si>
  <si>
    <t>Gênero</t>
  </si>
  <si>
    <t>Canal Venda</t>
  </si>
  <si>
    <t>Quantidade</t>
  </si>
  <si>
    <t>Preço Unitário</t>
  </si>
  <si>
    <t>Receita</t>
  </si>
  <si>
    <t>05/01/2024</t>
  </si>
  <si>
    <t>Nike Air Force 1</t>
  </si>
  <si>
    <t>Casual</t>
  </si>
  <si>
    <t>Unissex</t>
  </si>
  <si>
    <t>Loja Física</t>
  </si>
  <si>
    <t>10/01/2024</t>
  </si>
  <si>
    <t>Nike Air Max 90</t>
  </si>
  <si>
    <t>Masculino</t>
  </si>
  <si>
    <t>Online</t>
  </si>
  <si>
    <t>15/01/2024</t>
  </si>
  <si>
    <t>Nike Revolution 6</t>
  </si>
  <si>
    <t>Corrida</t>
  </si>
  <si>
    <t>Feminino</t>
  </si>
  <si>
    <t>20/01/2024</t>
  </si>
  <si>
    <t>Nike Zoom Fly</t>
  </si>
  <si>
    <t>28/01/2024</t>
  </si>
  <si>
    <t>Nike Dunk Low</t>
  </si>
  <si>
    <t>Nike Metcon 9</t>
  </si>
  <si>
    <t>Treino</t>
  </si>
  <si>
    <t>Nike Pegasus 40</t>
  </si>
  <si>
    <t>Nike Court Vision</t>
  </si>
  <si>
    <t>Nike LeBron 21</t>
  </si>
  <si>
    <t>Basquete</t>
  </si>
  <si>
    <t>Nike Air Max Pulse</t>
  </si>
  <si>
    <t>Nike Downshifter 12</t>
  </si>
  <si>
    <t>Nike Jordan Stay Loyal</t>
  </si>
  <si>
    <t>Nike Blazer Mid 77</t>
  </si>
  <si>
    <t>Nike Invincible 3</t>
  </si>
  <si>
    <t>Nike SuperRep Go</t>
  </si>
  <si>
    <t>DASHBOARD DE VENDAS – NIKE SHOES</t>
  </si>
  <si>
    <t>Coluna1</t>
  </si>
  <si>
    <t>Coluna2</t>
  </si>
  <si>
    <t>Coluna3</t>
  </si>
  <si>
    <t>Coluna4</t>
  </si>
  <si>
    <t>Receita Total</t>
  </si>
  <si>
    <t>Pares Vendidos</t>
  </si>
  <si>
    <t>Ticket Médio</t>
  </si>
  <si>
    <t>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</si>
</sst>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4">
    <dxf>
      <numFmt numFmtId="164" formatCode="_-[$R$-416]\ * #,##0.00_-;\-[$R$-416]\ * #,##0.00_-;_-[$R$-416]\ * &quot;-&quot;??_-;_-@_-"/>
    </dxf>
    <dxf>
      <numFmt numFmtId="12" formatCode="&quot;R$&quot;\ #,##0.00;[Red]\-&quot;R$&quot;\ #,##0.00"/>
    </dxf>
    <dxf>
      <numFmt numFmtId="12" formatCode="&quot;R$&quot;\ #,##0.00;[Red]\-&quot;R$&quot;\ #,##0.0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Receita por Produto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Dashboard!B9</c:f>
              <c:strCache>
                <c:ptCount val="1"/>
                <c:pt idx="0">
                  <c:v> R$ 749,00 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Dashboard!$A$10:$A$14</c:f>
              <c:strCache>
                <c:ptCount val="5"/>
                <c:pt idx="0">
                  <c:v>Nike Revolution 6</c:v>
                </c:pt>
                <c:pt idx="1">
                  <c:v>Nike Zoom Fly</c:v>
                </c:pt>
                <c:pt idx="2">
                  <c:v>Nike Dunk Low</c:v>
                </c:pt>
                <c:pt idx="3">
                  <c:v>Nike Metcon 9</c:v>
                </c:pt>
                <c:pt idx="4">
                  <c:v>Nike Pegasus 40</c:v>
                </c:pt>
              </c:strCache>
            </c:strRef>
          </c:cat>
          <c:val>
            <c:numRef>
              <c:f>Dashboard!$B$10:$B$14</c:f>
              <c:numCache>
                <c:formatCode>_-[$R$-416]\ * #,##0.00_-;\-[$R$-416]\ * #,##0.00_-;_-[$R$-416]\ * "-"??_-;_-@_-</c:formatCode>
                <c:ptCount val="5"/>
                <c:pt idx="0">
                  <c:v>1197</c:v>
                </c:pt>
                <c:pt idx="1">
                  <c:v>999</c:v>
                </c:pt>
                <c:pt idx="2">
                  <c:v>1398</c:v>
                </c:pt>
                <c:pt idx="3">
                  <c:v>899</c:v>
                </c:pt>
                <c:pt idx="4">
                  <c:v>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F-4B64-A337-303AD113B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Receita por Produto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Dashboard!B7</c:f>
              <c:strCache>
                <c:ptCount val="1"/>
                <c:pt idx="0">
                  <c:v>Receita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Dashboard!$A$8:$A$12</c:f>
              <c:strCache>
                <c:ptCount val="5"/>
                <c:pt idx="0">
                  <c:v>Nike Air Force 1</c:v>
                </c:pt>
                <c:pt idx="1">
                  <c:v>Nike Air Max 90</c:v>
                </c:pt>
                <c:pt idx="2">
                  <c:v>Nike Revolution 6</c:v>
                </c:pt>
                <c:pt idx="3">
                  <c:v>Nike Zoom Fly</c:v>
                </c:pt>
                <c:pt idx="4">
                  <c:v>Nike Dunk Low</c:v>
                </c:pt>
              </c:strCache>
            </c:strRef>
          </c:cat>
          <c:val>
            <c:numRef>
              <c:f>Dashboard!$B$8:$B$12</c:f>
              <c:numCache>
                <c:formatCode>_-[$R$-416]\ * #,##0.00_-;\-[$R$-416]\ * #,##0.00_-;_-[$R$-416]\ * "-"??_-;_-@_-</c:formatCode>
                <c:ptCount val="5"/>
                <c:pt idx="0">
                  <c:v>1198</c:v>
                </c:pt>
                <c:pt idx="1">
                  <c:v>749</c:v>
                </c:pt>
                <c:pt idx="2">
                  <c:v>1197</c:v>
                </c:pt>
                <c:pt idx="3">
                  <c:v>999</c:v>
                </c:pt>
                <c:pt idx="4">
                  <c:v>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B-42D2-B687-12D3CDD07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Distribuição de Receita por Canal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Dashboard!B23</c:f>
              <c:strCache>
                <c:ptCount val="1"/>
                <c:pt idx="0">
                  <c:v> Receita 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Dashboard!$A$24:$A$25</c:f>
              <c:strCache>
                <c:ptCount val="2"/>
                <c:pt idx="0">
                  <c:v>Loja Física</c:v>
                </c:pt>
                <c:pt idx="1">
                  <c:v>Online</c:v>
                </c:pt>
              </c:strCache>
            </c:strRef>
          </c:cat>
          <c:val>
            <c:numRef>
              <c:f>Dashboard!$B$24:$B$25</c:f>
              <c:numCache>
                <c:formatCode>_-[$R$-416]\ * #,##0.00_-;\-[$R$-416]\ * #,##0.00_-;_-[$R$-416]\ * "-"??_-;_-@_-</c:formatCode>
                <c:ptCount val="2"/>
                <c:pt idx="0">
                  <c:v>2197</c:v>
                </c:pt>
                <c:pt idx="1">
                  <c:v>3344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2-4753-A1E9-6DA002421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819150</xdr:colOff>
      <xdr:row>0</xdr:row>
      <xdr:rowOff>171450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95250</xdr:colOff>
      <xdr:row>1</xdr:row>
      <xdr:rowOff>9525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323850</xdr:colOff>
      <xdr:row>16</xdr:row>
      <xdr:rowOff>104775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72514-AF1F-491D-B22A-52AA5E6A7C95}" name="Tabela2" displayName="Tabela2" ref="A1:H16" totalsRowShown="0">
  <autoFilter ref="A1:H16" xr:uid="{62572514-AF1F-491D-B22A-52AA5E6A7C95}"/>
  <tableColumns count="8">
    <tableColumn id="1" xr3:uid="{799DA787-B045-4AD7-AC72-49D996680485}" name="Data Venda" dataDxfId="3"/>
    <tableColumn id="2" xr3:uid="{44BC385A-86A7-4702-A391-1FC8150300FD}" name="Produto"/>
    <tableColumn id="3" xr3:uid="{091F6D6B-826D-4FF2-8C5B-F4009D6CC82A}" name="Categoria"/>
    <tableColumn id="4" xr3:uid="{DF1D5116-F1AD-4FA9-B777-55A7760E0EE8}" name="Gênero"/>
    <tableColumn id="5" xr3:uid="{C15471F3-2C4D-416F-943C-C843B7DF6174}" name="Canal Venda"/>
    <tableColumn id="6" xr3:uid="{725F9C26-2D42-4BA1-8A7E-6F366C14921F}" name="Quantidade"/>
    <tableColumn id="7" xr3:uid="{7185F0E4-2E25-465F-955A-930DE1DAFC97}" name="Preço Unitário" dataDxfId="2"/>
    <tableColumn id="8" xr3:uid="{6C8B8A55-2086-4B3B-8A12-D27F07A32A06}" name="Receita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9D51F-0429-4C53-B57C-7333183938F0}" name="Tabela1" displayName="Tabela1" ref="A1:E25" totalsRowShown="0">
  <autoFilter ref="A1:E25" xr:uid="{6B09D51F-0429-4C53-B57C-7333183938F0}"/>
  <tableColumns count="5">
    <tableColumn id="1" xr3:uid="{0F9011CF-DE19-4993-8B46-F9C8758EB712}" name="DASHBOARD DE VENDAS – NIKE SHOES"/>
    <tableColumn id="2" xr3:uid="{171F6300-5B01-485B-AAA8-84756A4A0F9C}" name="Coluna1" dataDxfId="0"/>
    <tableColumn id="3" xr3:uid="{8D0B68F1-19E2-4BED-A75F-B7B163CB0899}" name="Coluna2"/>
    <tableColumn id="4" xr3:uid="{082CD6F1-5FF2-4C47-9A4B-272B25D5C8E5}" name="Coluna3"/>
    <tableColumn id="5" xr3:uid="{31B654B5-78ED-40B1-BDD7-7C9BE10CF37E}" name="Coluna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2" sqref="F2"/>
    </sheetView>
  </sheetViews>
  <sheetFormatPr defaultRowHeight="15"/>
  <cols>
    <col min="1" max="1" width="13.5703125" bestFit="1" customWidth="1"/>
    <col min="2" max="2" width="20.28515625" bestFit="1" customWidth="1"/>
    <col min="3" max="3" width="11.7109375" bestFit="1" customWidth="1"/>
    <col min="4" max="4" width="9.85546875" bestFit="1" customWidth="1"/>
    <col min="5" max="5" width="14.28515625" bestFit="1" customWidth="1"/>
    <col min="6" max="6" width="13.7109375" bestFit="1" customWidth="1"/>
    <col min="7" max="7" width="15.85546875" bestFit="1" customWidth="1"/>
    <col min="8" max="8" width="12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5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 s="3">
        <v>599</v>
      </c>
      <c r="H2" s="3">
        <v>1198</v>
      </c>
    </row>
    <row r="3" spans="1:8">
      <c r="A3" s="5" t="s">
        <v>13</v>
      </c>
      <c r="B3" t="s">
        <v>14</v>
      </c>
      <c r="C3" t="s">
        <v>10</v>
      </c>
      <c r="D3" t="s">
        <v>15</v>
      </c>
      <c r="E3" t="s">
        <v>16</v>
      </c>
      <c r="F3">
        <v>1</v>
      </c>
      <c r="G3" s="3">
        <v>749</v>
      </c>
      <c r="H3" s="3">
        <v>749</v>
      </c>
    </row>
    <row r="4" spans="1:8">
      <c r="A4" s="5" t="s">
        <v>17</v>
      </c>
      <c r="B4" t="s">
        <v>18</v>
      </c>
      <c r="C4" t="s">
        <v>19</v>
      </c>
      <c r="D4" t="s">
        <v>20</v>
      </c>
      <c r="E4" t="s">
        <v>16</v>
      </c>
      <c r="F4">
        <v>3</v>
      </c>
      <c r="G4" s="3">
        <v>399</v>
      </c>
      <c r="H4" s="3">
        <v>1197</v>
      </c>
    </row>
    <row r="5" spans="1:8">
      <c r="A5" s="5" t="s">
        <v>21</v>
      </c>
      <c r="B5" t="s">
        <v>22</v>
      </c>
      <c r="C5" t="s">
        <v>19</v>
      </c>
      <c r="D5" t="s">
        <v>15</v>
      </c>
      <c r="E5" t="s">
        <v>12</v>
      </c>
      <c r="F5">
        <v>1</v>
      </c>
      <c r="G5" s="3">
        <v>999</v>
      </c>
      <c r="H5" s="3">
        <v>999</v>
      </c>
    </row>
    <row r="6" spans="1:8">
      <c r="A6" s="5" t="s">
        <v>23</v>
      </c>
      <c r="B6" t="s">
        <v>24</v>
      </c>
      <c r="C6" t="s">
        <v>10</v>
      </c>
      <c r="D6" t="s">
        <v>11</v>
      </c>
      <c r="E6" t="s">
        <v>16</v>
      </c>
      <c r="F6">
        <v>2</v>
      </c>
      <c r="G6" s="3">
        <v>699</v>
      </c>
      <c r="H6" s="3">
        <v>1398</v>
      </c>
    </row>
    <row r="7" spans="1:8">
      <c r="A7" s="4">
        <v>45324</v>
      </c>
      <c r="B7" t="s">
        <v>25</v>
      </c>
      <c r="C7" t="s">
        <v>26</v>
      </c>
      <c r="D7" t="s">
        <v>15</v>
      </c>
      <c r="E7" t="s">
        <v>12</v>
      </c>
      <c r="F7">
        <v>1</v>
      </c>
      <c r="G7" s="3">
        <v>899</v>
      </c>
      <c r="H7" s="3">
        <v>899</v>
      </c>
    </row>
    <row r="8" spans="1:8">
      <c r="A8" s="4">
        <v>45327</v>
      </c>
      <c r="B8" t="s">
        <v>27</v>
      </c>
      <c r="C8" t="s">
        <v>19</v>
      </c>
      <c r="D8" t="s">
        <v>20</v>
      </c>
      <c r="E8" t="s">
        <v>16</v>
      </c>
      <c r="F8">
        <v>2</v>
      </c>
      <c r="G8" s="3">
        <v>799</v>
      </c>
      <c r="H8" s="3">
        <v>1598</v>
      </c>
    </row>
    <row r="9" spans="1:8">
      <c r="A9" s="4">
        <v>45334</v>
      </c>
      <c r="B9" t="s">
        <v>28</v>
      </c>
      <c r="C9" t="s">
        <v>10</v>
      </c>
      <c r="D9" t="s">
        <v>15</v>
      </c>
      <c r="E9" t="s">
        <v>12</v>
      </c>
      <c r="F9">
        <v>3</v>
      </c>
      <c r="G9" s="3">
        <v>449</v>
      </c>
      <c r="H9" s="3">
        <v>1347</v>
      </c>
    </row>
    <row r="10" spans="1:8">
      <c r="A10" s="4">
        <v>45340</v>
      </c>
      <c r="B10" t="s">
        <v>29</v>
      </c>
      <c r="C10" t="s">
        <v>30</v>
      </c>
      <c r="D10" t="s">
        <v>11</v>
      </c>
      <c r="E10" t="s">
        <v>16</v>
      </c>
      <c r="F10">
        <v>1</v>
      </c>
      <c r="G10" s="3">
        <v>1499</v>
      </c>
      <c r="H10" s="3">
        <v>1499</v>
      </c>
    </row>
    <row r="11" spans="1:8">
      <c r="A11" s="4">
        <v>45347</v>
      </c>
      <c r="B11" t="s">
        <v>31</v>
      </c>
      <c r="C11" t="s">
        <v>10</v>
      </c>
      <c r="D11" t="s">
        <v>15</v>
      </c>
      <c r="E11" t="s">
        <v>16</v>
      </c>
      <c r="F11">
        <v>1</v>
      </c>
      <c r="G11" s="3">
        <v>999</v>
      </c>
      <c r="H11" s="3">
        <v>999</v>
      </c>
    </row>
    <row r="12" spans="1:8">
      <c r="A12" s="4">
        <v>45354</v>
      </c>
      <c r="B12" t="s">
        <v>32</v>
      </c>
      <c r="C12" t="s">
        <v>19</v>
      </c>
      <c r="D12" t="s">
        <v>20</v>
      </c>
      <c r="E12" t="s">
        <v>12</v>
      </c>
      <c r="F12">
        <v>4</v>
      </c>
      <c r="G12" s="3">
        <v>329</v>
      </c>
      <c r="H12" s="3">
        <v>1316</v>
      </c>
    </row>
    <row r="13" spans="1:8">
      <c r="A13" s="4">
        <v>45361</v>
      </c>
      <c r="B13" t="s">
        <v>33</v>
      </c>
      <c r="C13" t="s">
        <v>30</v>
      </c>
      <c r="D13" t="s">
        <v>15</v>
      </c>
      <c r="E13" t="s">
        <v>16</v>
      </c>
      <c r="F13">
        <v>2</v>
      </c>
      <c r="G13" s="3">
        <v>849</v>
      </c>
      <c r="H13" s="3">
        <v>1698</v>
      </c>
    </row>
    <row r="14" spans="1:8">
      <c r="A14" s="4">
        <v>45366</v>
      </c>
      <c r="B14" t="s">
        <v>34</v>
      </c>
      <c r="C14" t="s">
        <v>10</v>
      </c>
      <c r="D14" t="s">
        <v>11</v>
      </c>
      <c r="E14" t="s">
        <v>12</v>
      </c>
      <c r="F14">
        <v>2</v>
      </c>
      <c r="G14" s="3">
        <v>699</v>
      </c>
      <c r="H14" s="3">
        <v>1398</v>
      </c>
    </row>
    <row r="15" spans="1:8">
      <c r="A15" s="4">
        <v>45373</v>
      </c>
      <c r="B15" t="s">
        <v>35</v>
      </c>
      <c r="C15" t="s">
        <v>19</v>
      </c>
      <c r="D15" t="s">
        <v>15</v>
      </c>
      <c r="E15" t="s">
        <v>16</v>
      </c>
      <c r="F15">
        <v>1</v>
      </c>
      <c r="G15" s="3">
        <v>1199</v>
      </c>
      <c r="H15" s="3">
        <v>1199</v>
      </c>
    </row>
    <row r="16" spans="1:8">
      <c r="A16" s="4">
        <v>45381</v>
      </c>
      <c r="B16" t="s">
        <v>36</v>
      </c>
      <c r="C16" t="s">
        <v>26</v>
      </c>
      <c r="D16" t="s">
        <v>20</v>
      </c>
      <c r="E16" t="s">
        <v>12</v>
      </c>
      <c r="F16">
        <v>2</v>
      </c>
      <c r="G16" s="3">
        <v>549</v>
      </c>
      <c r="H16" s="3">
        <v>1098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D8" sqref="D8"/>
    </sheetView>
  </sheetViews>
  <sheetFormatPr defaultRowHeight="15"/>
  <cols>
    <col min="1" max="1" width="45.140625" bestFit="1" customWidth="1"/>
    <col min="2" max="2" width="12.140625" bestFit="1" customWidth="1"/>
    <col min="3" max="3" width="14.5703125" bestFit="1" customWidth="1"/>
    <col min="4" max="4" width="10.42578125" bestFit="1" customWidth="1"/>
    <col min="5" max="5" width="12.42578125" bestFit="1" customWidth="1"/>
  </cols>
  <sheetData>
    <row r="1" spans="1:5">
      <c r="A1" s="2" t="s">
        <v>37</v>
      </c>
      <c r="B1" t="s">
        <v>38</v>
      </c>
      <c r="C1" t="s">
        <v>39</v>
      </c>
      <c r="D1" t="s">
        <v>40</v>
      </c>
      <c r="E1" t="s">
        <v>41</v>
      </c>
    </row>
    <row r="3" spans="1:5">
      <c r="A3" s="1" t="s">
        <v>42</v>
      </c>
      <c r="C3" s="1" t="s">
        <v>43</v>
      </c>
      <c r="E3" s="1" t="s">
        <v>44</v>
      </c>
    </row>
    <row r="4" spans="1:5">
      <c r="A4" s="1">
        <f>SUM(Base_Dados!H2:H100)</f>
        <v>18592</v>
      </c>
      <c r="C4">
        <f>SUM(Base_Dados!F2:F100)</f>
        <v>28</v>
      </c>
      <c r="E4">
        <f>A4/C4</f>
        <v>664</v>
      </c>
    </row>
    <row r="5" spans="1:5">
      <c r="A5" s="1"/>
    </row>
    <row r="6" spans="1:5">
      <c r="A6" s="1"/>
    </row>
    <row r="7" spans="1:5">
      <c r="A7" s="7" t="s">
        <v>1</v>
      </c>
      <c r="B7" s="7" t="s">
        <v>7</v>
      </c>
    </row>
    <row r="8" spans="1:5">
      <c r="A8" t="s">
        <v>9</v>
      </c>
      <c r="B8" s="3">
        <v>1198</v>
      </c>
    </row>
    <row r="9" spans="1:5">
      <c r="A9" t="s">
        <v>14</v>
      </c>
      <c r="B9" s="3">
        <v>749</v>
      </c>
    </row>
    <row r="10" spans="1:5">
      <c r="A10" t="s">
        <v>18</v>
      </c>
      <c r="B10" s="3">
        <v>1197</v>
      </c>
    </row>
    <row r="11" spans="1:5">
      <c r="A11" t="s">
        <v>22</v>
      </c>
      <c r="B11" s="3">
        <v>999</v>
      </c>
    </row>
    <row r="12" spans="1:5">
      <c r="A12" t="s">
        <v>24</v>
      </c>
      <c r="B12" s="3">
        <v>1398</v>
      </c>
    </row>
    <row r="13" spans="1:5">
      <c r="A13" t="s">
        <v>25</v>
      </c>
      <c r="B13" s="3">
        <v>899</v>
      </c>
    </row>
    <row r="14" spans="1:5">
      <c r="A14" t="s">
        <v>27</v>
      </c>
      <c r="B14" s="3">
        <v>1598</v>
      </c>
    </row>
    <row r="15" spans="1:5">
      <c r="A15" t="s">
        <v>28</v>
      </c>
      <c r="B15" s="3">
        <v>1347</v>
      </c>
    </row>
    <row r="16" spans="1:5">
      <c r="A16" t="s">
        <v>29</v>
      </c>
      <c r="B16" s="3">
        <v>1499</v>
      </c>
    </row>
    <row r="17" spans="1:2">
      <c r="A17" t="s">
        <v>31</v>
      </c>
      <c r="B17" s="3">
        <v>999</v>
      </c>
    </row>
    <row r="18" spans="1:2">
      <c r="A18" t="s">
        <v>32</v>
      </c>
      <c r="B18" s="3">
        <v>1316</v>
      </c>
    </row>
    <row r="19" spans="1:2">
      <c r="A19" t="s">
        <v>33</v>
      </c>
      <c r="B19" s="3">
        <v>1698</v>
      </c>
    </row>
    <row r="20" spans="1:2">
      <c r="A20" t="s">
        <v>34</v>
      </c>
      <c r="B20" s="3">
        <v>1398</v>
      </c>
    </row>
    <row r="21" spans="1:2">
      <c r="A21" t="s">
        <v>35</v>
      </c>
      <c r="B21" s="3">
        <v>1199</v>
      </c>
    </row>
    <row r="22" spans="1:2">
      <c r="A22" t="s">
        <v>36</v>
      </c>
      <c r="B22" s="3">
        <v>1098</v>
      </c>
    </row>
    <row r="23" spans="1:2">
      <c r="A23" s="7" t="s">
        <v>45</v>
      </c>
      <c r="B23" s="6" t="s">
        <v>7</v>
      </c>
    </row>
    <row r="24" spans="1:2">
      <c r="A24" t="s">
        <v>12</v>
      </c>
      <c r="B24" s="3">
        <v>2197</v>
      </c>
    </row>
    <row r="25" spans="1:2">
      <c r="A25" t="s">
        <v>16</v>
      </c>
      <c r="B25" s="3">
        <v>3344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João Vitor Santos Cavalcanti</cp:lastModifiedBy>
  <cp:revision/>
  <dcterms:created xsi:type="dcterms:W3CDTF">2026-01-22T19:12:39Z</dcterms:created>
  <dcterms:modified xsi:type="dcterms:W3CDTF">2026-01-22T19:41:27Z</dcterms:modified>
  <cp:category/>
  <cp:contentStatus/>
</cp:coreProperties>
</file>